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-TECH\Desktop\Проекты\PDU_Control_Board\Docs\"/>
    </mc:Choice>
  </mc:AlternateContent>
  <xr:revisionPtr revIDLastSave="0" documentId="13_ncr:1_{9AFCD20E-FAA7-4716-9724-C63885D1C8C3}" xr6:coauthVersionLast="47" xr6:coauthVersionMax="47" xr10:uidLastSave="{00000000-0000-0000-0000-000000000000}"/>
  <bookViews>
    <workbookView xWindow="38280" yWindow="-120" windowWidth="29040" windowHeight="15840" xr2:uid="{387BCAD3-D4E3-49C8-921A-2F6E33B362D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5" i="1"/>
  <c r="I2" i="1"/>
  <c r="H2" i="1"/>
  <c r="K2" i="1" s="1"/>
  <c r="G2" i="1"/>
  <c r="O2" i="1" s="1"/>
  <c r="P2" i="1" s="1"/>
  <c r="J2" i="1" l="1"/>
</calcChain>
</file>

<file path=xl/sharedStrings.xml><?xml version="1.0" encoding="utf-8"?>
<sst xmlns="http://schemas.openxmlformats.org/spreadsheetml/2006/main" count="15" uniqueCount="15">
  <si>
    <t>μr</t>
  </si>
  <si>
    <t>Do</t>
  </si>
  <si>
    <t>Di</t>
  </si>
  <si>
    <t>Lm</t>
  </si>
  <si>
    <t>Ac</t>
  </si>
  <si>
    <t>μ0</t>
  </si>
  <si>
    <t>h</t>
  </si>
  <si>
    <t>L целевое</t>
  </si>
  <si>
    <t>L расчетное</t>
  </si>
  <si>
    <t>Imax</t>
  </si>
  <si>
    <t>H</t>
  </si>
  <si>
    <t>B</t>
  </si>
  <si>
    <t>Материал</t>
  </si>
  <si>
    <t>Nmin</t>
  </si>
  <si>
    <t>Nreal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</si>
</sst>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F2A1-A2D6-43ED-BE6C-2F8E79E025D1}">
  <dimension ref="A1:P7"/>
  <sheetViews>
    <sheetView tabSelected="1" zoomScale="175" zoomScaleNormal="175" workbookViewId="0">
      <selection activeCell="E7" sqref="E7"/>
    </sheetView>
  </sheetViews>
  <sheetFormatPr defaultRowHeight="14.4" x14ac:dyDescent="0.3"/>
  <cols>
    <col min="1" max="1" width="14.33203125" customWidth="1"/>
    <col min="3" max="3" width="12.44140625" bestFit="1" customWidth="1"/>
    <col min="4" max="4" width="9.109375" bestFit="1" customWidth="1"/>
    <col min="5" max="5" width="12.21875" bestFit="1" customWidth="1"/>
    <col min="6" max="8" width="9.109375" bestFit="1" customWidth="1"/>
    <col min="9" max="9" width="16.77734375" customWidth="1"/>
    <col min="10" max="10" width="9.6640625" bestFit="1" customWidth="1"/>
    <col min="11" max="11" width="12.77734375" customWidth="1"/>
    <col min="14" max="14" width="9.6640625" bestFit="1" customWidth="1"/>
    <col min="15" max="15" width="12.77734375" bestFit="1" customWidth="1"/>
    <col min="16" max="16" width="9.6640625" bestFit="1" customWidth="1"/>
  </cols>
  <sheetData>
    <row r="1" spans="1:16" x14ac:dyDescent="0.3">
      <c r="A1" s="2" t="s">
        <v>12</v>
      </c>
      <c r="B1" s="2" t="s">
        <v>0</v>
      </c>
      <c r="C1" s="2" t="s">
        <v>5</v>
      </c>
      <c r="D1" s="2" t="s">
        <v>1</v>
      </c>
      <c r="E1" s="2" t="s">
        <v>2</v>
      </c>
      <c r="F1" s="2" t="s">
        <v>6</v>
      </c>
      <c r="G1" s="2" t="s">
        <v>3</v>
      </c>
      <c r="H1" s="2" t="s">
        <v>4</v>
      </c>
      <c r="I1" s="2" t="s">
        <v>7</v>
      </c>
      <c r="J1" s="2" t="s">
        <v>13</v>
      </c>
      <c r="K1" s="2" t="s">
        <v>8</v>
      </c>
      <c r="L1" s="1" t="s">
        <v>14</v>
      </c>
      <c r="M1" s="1"/>
      <c r="N1" s="2" t="s">
        <v>9</v>
      </c>
      <c r="O1" s="2" t="s">
        <v>10</v>
      </c>
      <c r="P1" s="2" t="s">
        <v>11</v>
      </c>
    </row>
    <row r="2" spans="1:16" x14ac:dyDescent="0.3">
      <c r="B2" s="3">
        <v>10</v>
      </c>
      <c r="C2" s="3">
        <v>1.2566369999999999E-6</v>
      </c>
      <c r="D2" s="3">
        <v>2.5999999999999999E-2</v>
      </c>
      <c r="E2" s="3">
        <v>1.4500000000000001E-2</v>
      </c>
      <c r="F2" s="3">
        <v>2.2200000000000001E-2</v>
      </c>
      <c r="G2" s="3">
        <f>3.14*(D2+E2)/2</f>
        <v>6.3585000000000003E-2</v>
      </c>
      <c r="H2" s="3">
        <f>(D2-E2)*F2/2</f>
        <v>1.2764999999999999E-4</v>
      </c>
      <c r="I2" s="3">
        <f>0.00056</f>
        <v>5.5999999999999995E-4</v>
      </c>
      <c r="J2" s="3">
        <f>SQRT((I2*G2)/(C2*B2*H2))</f>
        <v>148.98962269953623</v>
      </c>
      <c r="K2" s="3">
        <f>(C2*B2*H2*L2^2)/G2</f>
        <v>1.1125372879617834E-3</v>
      </c>
      <c r="L2">
        <v>210</v>
      </c>
      <c r="N2">
        <v>10</v>
      </c>
      <c r="O2">
        <f>(L2*N2)/G2</f>
        <v>33026.657230478886</v>
      </c>
      <c r="P2">
        <f>C2*B2*O2</f>
        <v>0.41502519462137294</v>
      </c>
    </row>
    <row r="5" spans="1:16" x14ac:dyDescent="0.3">
      <c r="E5">
        <f>3.14*E2^2/4</f>
        <v>1.6504625000000002E-4</v>
      </c>
      <c r="F5">
        <v>0.71</v>
      </c>
    </row>
    <row r="7" spans="1:16" x14ac:dyDescent="0.3">
      <c r="E7">
        <f>L2*F5^2*3.14*0.000001/4</f>
        <v>8.3100885000000002E-5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EV-TECH</dc:creator>
  <cp:lastModifiedBy>EV-TECH</cp:lastModifiedBy>
  <dcterms:created xsi:type="dcterms:W3CDTF">2025-07-10T13:34:16Z</dcterms:created>
  <dcterms:modified xsi:type="dcterms:W3CDTF">2025-07-17T13:45:35Z</dcterms:modified>
</cp:coreProperties>
</file>